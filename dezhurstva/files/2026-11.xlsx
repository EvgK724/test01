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оябрь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"/>
  </numFmts>
  <fonts count="9">
    <font>
      <name val="Calibri"/>
      <family val="2"/>
      <color theme="1"/>
      <sz val="11"/>
      <scheme val="minor"/>
    </font>
    <font>
      <name val="Arial"/>
      <b val="1"/>
      <color rgb="FF213C56"/>
      <sz val="16"/>
    </font>
    <font>
      <name val="Arial"/>
      <b val="1"/>
      <color rgb="FF213C56"/>
      <sz val="11"/>
    </font>
    <font>
      <name val="Arial"/>
      <b val="1"/>
      <color rgb="FF213C56"/>
      <sz val="9"/>
    </font>
    <font>
      <name val="Arial"/>
      <color rgb="FF203449"/>
      <sz val="10.5"/>
    </font>
    <font>
      <name val="Arial"/>
      <b val="1"/>
      <color rgb="FF126E69"/>
      <sz val="17"/>
    </font>
    <font>
      <name val="Arial"/>
      <b val="1"/>
      <color rgb="FF213C56"/>
      <sz val="12"/>
    </font>
    <font>
      <name val="Arial"/>
      <b val="1"/>
      <color rgb="FF6F511F"/>
      <sz val="15"/>
    </font>
    <font>
      <name val="Arial"/>
      <b val="1"/>
      <color rgb="FF213C56"/>
      <sz val="10"/>
    </font>
  </fonts>
  <fills count="8">
    <fill>
      <patternFill/>
    </fill>
    <fill>
      <patternFill patternType="gray125"/>
    </fill>
    <fill>
      <patternFill patternType="solid">
        <fgColor rgb="FFD5E0EA"/>
      </patternFill>
    </fill>
    <fill>
      <patternFill patternType="solid">
        <fgColor rgb="FFCFD9E2"/>
      </patternFill>
    </fill>
    <fill>
      <patternFill patternType="solid">
        <fgColor rgb="FFFFFFFF"/>
      </patternFill>
    </fill>
    <fill>
      <patternFill patternType="solid">
        <fgColor rgb="FFE8EFF5"/>
      </patternFill>
    </fill>
    <fill>
      <patternFill patternType="solid">
        <fgColor rgb="FFF8FAFC"/>
      </patternFill>
    </fill>
    <fill>
      <patternFill patternType="solid">
        <fgColor rgb="FFEAD4A3"/>
      </patternFill>
    </fill>
  </fills>
  <borders count="11">
    <border>
      <left/>
      <right/>
      <top/>
      <bottom/>
      <diagonal/>
    </border>
    <border>
      <right style="thin"/>
      <bottom style="thin"/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/>
      <top style="thin"/>
      <bottom style="thin"/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65" fontId="2" fillId="3" borderId="2" applyAlignment="1" pivotButton="0" quotePrefix="0" xfId="0">
      <alignment horizontal="center" vertical="center"/>
    </xf>
    <xf numFmtId="165" fontId="2" fillId="2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4" fillId="4" borderId="5" applyAlignment="1" pivotButton="0" quotePrefix="0" xfId="0">
      <alignment vertical="center"/>
    </xf>
    <xf numFmtId="0" fontId="5" fillId="3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6" applyAlignment="1" pivotButton="0" quotePrefix="0" xfId="0">
      <alignment horizontal="center" vertical="center"/>
    </xf>
    <xf numFmtId="0" fontId="4" fillId="6" borderId="5" applyAlignment="1" pivotButton="0" quotePrefix="0" xfId="0">
      <alignment vertical="center"/>
    </xf>
    <xf numFmtId="0" fontId="5" fillId="6" borderId="3" applyAlignment="1" pivotButton="0" quotePrefix="0" xfId="0">
      <alignment horizontal="center" vertical="center"/>
    </xf>
    <xf numFmtId="0" fontId="7" fillId="7" borderId="3" applyAlignment="1" pivotButton="0" quotePrefix="0" xfId="0">
      <alignment horizontal="center" vertical="center" wrapText="1"/>
    </xf>
    <xf numFmtId="0" fontId="0" fillId="7" borderId="3" pivotButton="0" quotePrefix="0" xfId="0"/>
    <xf numFmtId="0" fontId="8" fillId="2" borderId="5" applyAlignment="1" pivotButton="0" quotePrefix="0" xfId="0">
      <alignment vertical="center"/>
    </xf>
    <xf numFmtId="0" fontId="8" fillId="2" borderId="3" applyAlignment="1" pivotButton="0" quotePrefix="0" xfId="0">
      <alignment horizontal="center" vertical="center"/>
    </xf>
    <xf numFmtId="0" fontId="8" fillId="2" borderId="6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color rgb="FFA52C2C"/>
      </font>
      <fill>
        <patternFill>
          <bgColor rgb="FFFCE2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.7" customWidth="1" min="2" max="2"/>
    <col width="3.7" customWidth="1" min="3" max="3"/>
    <col width="3.7" customWidth="1" min="4" max="4"/>
    <col width="3.7" customWidth="1" min="5" max="5"/>
    <col width="3.7" customWidth="1" min="6" max="6"/>
    <col width="3.7" customWidth="1" min="7" max="7"/>
    <col width="3.7" customWidth="1" min="8" max="8"/>
    <col width="3.7" customWidth="1" min="9" max="9"/>
    <col width="3.7" customWidth="1" min="10" max="10"/>
    <col width="3.7" customWidth="1" min="11" max="11"/>
    <col width="3.7" customWidth="1" min="12" max="12"/>
    <col width="3.7" customWidth="1" min="13" max="13"/>
    <col width="3.7" customWidth="1" min="14" max="14"/>
    <col width="3.7" customWidth="1" min="15" max="15"/>
    <col width="3.7" customWidth="1" min="16" max="16"/>
    <col width="3.7" customWidth="1" min="17" max="17"/>
    <col width="3.7" customWidth="1" min="18" max="18"/>
    <col width="3.7" customWidth="1" min="19" max="19"/>
    <col width="3.7" customWidth="1" min="20" max="20"/>
    <col width="3.7" customWidth="1" min="21" max="21"/>
    <col width="3.7" customWidth="1" min="22" max="22"/>
    <col width="3.7" customWidth="1" min="23" max="23"/>
    <col width="3.7" customWidth="1" min="24" max="24"/>
    <col width="3.7" customWidth="1" min="25" max="25"/>
    <col width="3.7" customWidth="1" min="26" max="26"/>
    <col width="3.7" customWidth="1" min="27" max="27"/>
    <col width="3.7" customWidth="1" min="28" max="28"/>
    <col width="3.7" customWidth="1" min="29" max="29"/>
    <col width="3.7" customWidth="1" min="30" max="30"/>
    <col width="3.7" customWidth="1" min="31" max="31"/>
    <col width="6.4" customWidth="1" min="32" max="32"/>
  </cols>
  <sheetData>
    <row r="1" ht="30" customHeight="1">
      <c r="A1" s="1" t="inlineStr">
        <is>
          <t>ГРАФИК ДЕЖУРСТВ ПСО — НОЯБРЬ 2026</t>
        </is>
      </c>
    </row>
    <row r="2" ht="7" customHeight="1"/>
    <row r="3" ht="19" customHeight="1">
      <c r="A3" s="2" t="inlineStr">
        <is>
          <t>Врач</t>
        </is>
      </c>
      <c r="B3" s="3" t="n">
        <v>46327</v>
      </c>
      <c r="C3" s="4" t="n">
        <v>46328</v>
      </c>
      <c r="D3" s="4" t="n">
        <v>46329</v>
      </c>
      <c r="E3" s="3" t="n">
        <v>46330</v>
      </c>
      <c r="F3" s="4" t="n">
        <v>46331</v>
      </c>
      <c r="G3" s="4" t="n">
        <v>46332</v>
      </c>
      <c r="H3" s="3" t="n">
        <v>46333</v>
      </c>
      <c r="I3" s="3" t="n">
        <v>46334</v>
      </c>
      <c r="J3" s="4" t="n">
        <v>46335</v>
      </c>
      <c r="K3" s="4" t="n">
        <v>46336</v>
      </c>
      <c r="L3" s="4" t="n">
        <v>46337</v>
      </c>
      <c r="M3" s="4" t="n">
        <v>46338</v>
      </c>
      <c r="N3" s="4" t="n">
        <v>46339</v>
      </c>
      <c r="O3" s="3" t="n">
        <v>46340</v>
      </c>
      <c r="P3" s="3" t="n">
        <v>46341</v>
      </c>
      <c r="Q3" s="4" t="n">
        <v>46342</v>
      </c>
      <c r="R3" s="4" t="n">
        <v>46343</v>
      </c>
      <c r="S3" s="4" t="n">
        <v>46344</v>
      </c>
      <c r="T3" s="4" t="n">
        <v>46345</v>
      </c>
      <c r="U3" s="4" t="n">
        <v>46346</v>
      </c>
      <c r="V3" s="3" t="n">
        <v>46347</v>
      </c>
      <c r="W3" s="3" t="n">
        <v>46348</v>
      </c>
      <c r="X3" s="4" t="n">
        <v>46349</v>
      </c>
      <c r="Y3" s="4" t="n">
        <v>46350</v>
      </c>
      <c r="Z3" s="4" t="n">
        <v>46351</v>
      </c>
      <c r="AA3" s="4" t="n">
        <v>46352</v>
      </c>
      <c r="AB3" s="4" t="n">
        <v>46353</v>
      </c>
      <c r="AC3" s="3" t="n">
        <v>46354</v>
      </c>
      <c r="AD3" s="3" t="n">
        <v>46355</v>
      </c>
      <c r="AE3" s="4" t="n">
        <v>46356</v>
      </c>
      <c r="AF3" s="5" t="inlineStr">
        <is>
          <t>Всего</t>
        </is>
      </c>
    </row>
    <row r="4" ht="16" customHeight="1">
      <c r="A4" s="6" t="n"/>
      <c r="B4" s="7" t="str">
        <f>CHOOSE(WEEKDAY(B3,2),"Пн","Вт","Ср","Чт","Пт","Сб","Вс")</f>
        <v>Вс</v>
      </c>
      <c r="C4" s="8" t="str">
        <f>CHOOSE(WEEKDAY(C3,2),"Пн","Вт","Ср","Чт","Пт","Сб","Вс")</f>
        <v>Пн</v>
      </c>
      <c r="D4" s="8" t="str">
        <f>CHOOSE(WEEKDAY(D3,2),"Пн","Вт","Ср","Чт","Пт","Сб","Вс")</f>
        <v>Вт</v>
      </c>
      <c r="E4" s="7" t="str">
        <f>CHOOSE(WEEKDAY(E3,2),"Пн","Вт","Ср","Чт","Пт","Сб","Вс")</f>
        <v>Ср</v>
      </c>
      <c r="F4" s="8" t="str">
        <f>CHOOSE(WEEKDAY(F3,2),"Пн","Вт","Ср","Чт","Пт","Сб","Вс")</f>
        <v>Чт</v>
      </c>
      <c r="G4" s="8" t="str">
        <f>CHOOSE(WEEKDAY(G3,2),"Пн","Вт","Ср","Чт","Пт","Сб","Вс")</f>
        <v>Пт</v>
      </c>
      <c r="H4" s="7" t="str">
        <f>CHOOSE(WEEKDAY(H3,2),"Пн","Вт","Ср","Чт","Пт","Сб","Вс")</f>
        <v>Сб</v>
      </c>
      <c r="I4" s="7" t="str">
        <f>CHOOSE(WEEKDAY(I3,2),"Пн","Вт","Ср","Чт","Пт","Сб","Вс")</f>
        <v>Вс</v>
      </c>
      <c r="J4" s="8" t="str">
        <f>CHOOSE(WEEKDAY(J3,2),"Пн","Вт","Ср","Чт","Пт","Сб","Вс")</f>
        <v>Пн</v>
      </c>
      <c r="K4" s="8" t="str">
        <f>CHOOSE(WEEKDAY(K3,2),"Пн","Вт","Ср","Чт","Пт","Сб","Вс")</f>
        <v>Вт</v>
      </c>
      <c r="L4" s="8" t="str">
        <f>CHOOSE(WEEKDAY(L3,2),"Пн","Вт","Ср","Чт","Пт","Сб","Вс")</f>
        <v>Ср</v>
      </c>
      <c r="M4" s="8" t="str">
        <f>CHOOSE(WEEKDAY(M3,2),"Пн","Вт","Ср","Чт","Пт","Сб","Вс")</f>
        <v>Чт</v>
      </c>
      <c r="N4" s="8" t="str">
        <f>CHOOSE(WEEKDAY(N3,2),"Пн","Вт","Ср","Чт","Пт","Сб","Вс")</f>
        <v>Пт</v>
      </c>
      <c r="O4" s="7" t="str">
        <f>CHOOSE(WEEKDAY(O3,2),"Пн","Вт","Ср","Чт","Пт","Сб","Вс")</f>
        <v>Сб</v>
      </c>
      <c r="P4" s="7" t="str">
        <f>CHOOSE(WEEKDAY(P3,2),"Пн","Вт","Ср","Чт","Пт","Сб","Вс")</f>
        <v>Вс</v>
      </c>
      <c r="Q4" s="8" t="str">
        <f>CHOOSE(WEEKDAY(Q3,2),"Пн","Вт","Ср","Чт","Пт","Сб","Вс")</f>
        <v>Пн</v>
      </c>
      <c r="R4" s="8" t="str">
        <f>CHOOSE(WEEKDAY(R3,2),"Пн","Вт","Ср","Чт","Пт","Сб","Вс")</f>
        <v>Вт</v>
      </c>
      <c r="S4" s="8" t="str">
        <f>CHOOSE(WEEKDAY(S3,2),"Пн","Вт","Ср","Чт","Пт","Сб","Вс")</f>
        <v>Ср</v>
      </c>
      <c r="T4" s="8" t="str">
        <f>CHOOSE(WEEKDAY(T3,2),"Пн","Вт","Ср","Чт","Пт","Сб","Вс")</f>
        <v>Чт</v>
      </c>
      <c r="U4" s="8" t="str">
        <f>CHOOSE(WEEKDAY(U3,2),"Пн","Вт","Ср","Чт","Пт","Сб","Вс")</f>
        <v>Пт</v>
      </c>
      <c r="V4" s="7" t="str">
        <f>CHOOSE(WEEKDAY(V3,2),"Пн","Вт","Ср","Чт","Пт","Сб","Вс")</f>
        <v>Сб</v>
      </c>
      <c r="W4" s="7" t="str">
        <f>CHOOSE(WEEKDAY(W3,2),"Пн","Вт","Ср","Чт","Пт","Сб","Вс")</f>
        <v>Вс</v>
      </c>
      <c r="X4" s="8" t="str">
        <f>CHOOSE(WEEKDAY(X3,2),"Пн","Вт","Ср","Чт","Пт","Сб","Вс")</f>
        <v>Пн</v>
      </c>
      <c r="Y4" s="8" t="str">
        <f>CHOOSE(WEEKDAY(Y3,2),"Пн","Вт","Ср","Чт","Пт","Сб","Вс")</f>
        <v>Вт</v>
      </c>
      <c r="Z4" s="8" t="str">
        <f>CHOOSE(WEEKDAY(Z3,2),"Пн","Вт","Ср","Чт","Пт","Сб","Вс")</f>
        <v>Ср</v>
      </c>
      <c r="AA4" s="8" t="str">
        <f>CHOOSE(WEEKDAY(AA3,2),"Пн","Вт","Ср","Чт","Пт","Сб","Вс")</f>
        <v>Чт</v>
      </c>
      <c r="AB4" s="8" t="str">
        <f>CHOOSE(WEEKDAY(AB3,2),"Пн","Вт","Ср","Чт","Пт","Сб","Вс")</f>
        <v>Пт</v>
      </c>
      <c r="AC4" s="7" t="str">
        <f>CHOOSE(WEEKDAY(AC3,2),"Пн","Вт","Ср","Чт","Пт","Сб","Вс")</f>
        <v>Сб</v>
      </c>
      <c r="AD4" s="7" t="str">
        <f>CHOOSE(WEEKDAY(AD3,2),"Пн","Вт","Ср","Чт","Пт","Сб","Вс")</f>
        <v>Вс</v>
      </c>
      <c r="AE4" s="8" t="str">
        <f>CHOOSE(WEEKDAY(AE3,2),"Пн","Вт","Ср","Чт","Пт","Сб","Вс")</f>
        <v>Пн</v>
      </c>
    </row>
    <row r="5" ht="30" customHeight="1">
      <c r="A5" s="9" t="inlineStr">
        <is>
          <t>КЛЕПИКОВ</t>
        </is>
      </c>
      <c r="B5" s="10" t="n"/>
      <c r="C5" s="11" t="n"/>
      <c r="D5" s="11" t="n"/>
      <c r="E5" s="10" t="n"/>
      <c r="F5" s="11" t="inlineStr">
        <is>
          <t>+</t>
        </is>
      </c>
      <c r="G5" s="11" t="n"/>
      <c r="H5" s="10" t="inlineStr">
        <is>
          <t>+</t>
        </is>
      </c>
      <c r="I5" s="10" t="n"/>
      <c r="J5" s="11" t="n"/>
      <c r="K5" s="11" t="n"/>
      <c r="L5" s="11" t="n"/>
      <c r="M5" s="11" t="inlineStr">
        <is>
          <t>+</t>
        </is>
      </c>
      <c r="N5" s="11" t="n"/>
      <c r="O5" s="10" t="inlineStr">
        <is>
          <t>+</t>
        </is>
      </c>
      <c r="P5" s="10" t="n"/>
      <c r="Q5" s="11" t="n"/>
      <c r="R5" s="11" t="n"/>
      <c r="S5" s="11" t="n"/>
      <c r="T5" s="11" t="inlineStr">
        <is>
          <t>+</t>
        </is>
      </c>
      <c r="U5" s="11" t="n"/>
      <c r="V5" s="10" t="inlineStr">
        <is>
          <t>+</t>
        </is>
      </c>
      <c r="W5" s="10" t="n"/>
      <c r="X5" s="11" t="n"/>
      <c r="Y5" s="11" t="n"/>
      <c r="Z5" s="11" t="n"/>
      <c r="AA5" s="11" t="inlineStr">
        <is>
          <t>+</t>
        </is>
      </c>
      <c r="AB5" s="11" t="n"/>
      <c r="AC5" s="10" t="n"/>
      <c r="AD5" s="10" t="n"/>
      <c r="AE5" s="11" t="n"/>
      <c r="AF5" s="12">
        <f>COUNTIF(B5:AE5,"+")</f>
        <v>7</v>
      </c>
    </row>
    <row r="6" ht="30" customHeight="1">
      <c r="A6" s="13" t="inlineStr">
        <is>
          <t>КАРДАШИНА</t>
        </is>
      </c>
      <c r="B6" s="10" t="n"/>
      <c r="C6" s="14" t="n"/>
      <c r="D6" s="14" t="inlineStr">
        <is>
          <t>+</t>
        </is>
      </c>
      <c r="E6" s="10" t="n"/>
      <c r="F6" s="14" t="n"/>
      <c r="G6" s="14" t="n"/>
      <c r="H6" s="10" t="n"/>
      <c r="I6" s="10" t="n"/>
      <c r="J6" s="14" t="inlineStr">
        <is>
          <t>+</t>
        </is>
      </c>
      <c r="K6" s="14" t="n"/>
      <c r="L6" s="14" t="inlineStr">
        <is>
          <t>+</t>
        </is>
      </c>
      <c r="M6" s="14" t="n"/>
      <c r="N6" s="14" t="n"/>
      <c r="O6" s="10" t="n"/>
      <c r="P6" s="10" t="n"/>
      <c r="Q6" s="14" t="inlineStr">
        <is>
          <t>+</t>
        </is>
      </c>
      <c r="R6" s="14" t="n"/>
      <c r="S6" s="14" t="n"/>
      <c r="T6" s="14" t="n"/>
      <c r="U6" s="14" t="n"/>
      <c r="V6" s="10" t="n"/>
      <c r="W6" s="10" t="n"/>
      <c r="X6" s="14" t="n"/>
      <c r="Y6" s="14" t="inlineStr">
        <is>
          <t>+</t>
        </is>
      </c>
      <c r="Z6" s="14" t="n"/>
      <c r="AA6" s="14" t="n"/>
      <c r="AB6" s="14" t="n"/>
      <c r="AC6" s="10" t="n"/>
      <c r="AD6" s="10" t="n"/>
      <c r="AE6" s="14" t="inlineStr">
        <is>
          <t>+</t>
        </is>
      </c>
      <c r="AF6" s="12">
        <f>COUNTIF(B6:AE6,"+")</f>
        <v>6</v>
      </c>
    </row>
    <row r="7" ht="30" customHeight="1">
      <c r="A7" s="9" t="inlineStr">
        <is>
          <t>ЛЕКЕРОВА</t>
        </is>
      </c>
      <c r="B7" s="10" t="inlineStr">
        <is>
          <t>+</t>
        </is>
      </c>
      <c r="C7" s="11" t="n"/>
      <c r="D7" s="11" t="n"/>
      <c r="E7" s="15" t="inlineStr">
        <is>
          <t>ОТПУСК 04–16.11</t>
        </is>
      </c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1" t="inlineStr">
        <is>
          <t>+</t>
        </is>
      </c>
      <c r="S7" s="11" t="n"/>
      <c r="T7" s="11" t="n"/>
      <c r="U7" s="11" t="n"/>
      <c r="V7" s="10" t="n"/>
      <c r="W7" s="10" t="n"/>
      <c r="X7" s="11" t="n"/>
      <c r="Y7" s="11" t="n"/>
      <c r="Z7" s="11" t="inlineStr">
        <is>
          <t>+</t>
        </is>
      </c>
      <c r="AA7" s="11" t="n"/>
      <c r="AB7" s="11" t="n"/>
      <c r="AC7" s="10" t="n"/>
      <c r="AD7" s="10" t="n"/>
      <c r="AE7" s="11" t="n"/>
      <c r="AF7" s="12">
        <f>COUNTIF(B7:AE7,"+")</f>
        <v>3</v>
      </c>
    </row>
    <row r="8" ht="30" customHeight="1">
      <c r="A8" s="13" t="inlineStr">
        <is>
          <t>ХАМАТНУРОВА</t>
        </is>
      </c>
      <c r="B8" s="10" t="n"/>
      <c r="C8" s="14" t="inlineStr">
        <is>
          <t>+</t>
        </is>
      </c>
      <c r="D8" s="14" t="n"/>
      <c r="E8" s="10" t="n"/>
      <c r="F8" s="14" t="n"/>
      <c r="G8" s="14" t="n"/>
      <c r="H8" s="10" t="n"/>
      <c r="I8" s="10" t="n"/>
      <c r="J8" s="14" t="n"/>
      <c r="K8" s="14" t="n"/>
      <c r="L8" s="14" t="n"/>
      <c r="M8" s="14" t="n"/>
      <c r="N8" s="14" t="n"/>
      <c r="O8" s="10" t="n"/>
      <c r="P8" s="10" t="n"/>
      <c r="Q8" s="14" t="n"/>
      <c r="R8" s="14" t="n"/>
      <c r="S8" s="14" t="n"/>
      <c r="T8" s="14" t="n"/>
      <c r="U8" s="14" t="n"/>
      <c r="V8" s="10" t="n"/>
      <c r="W8" s="10" t="n"/>
      <c r="X8" s="14" t="n"/>
      <c r="Y8" s="14" t="n"/>
      <c r="Z8" s="14" t="n"/>
      <c r="AA8" s="14" t="n"/>
      <c r="AB8" s="14" t="n"/>
      <c r="AC8" s="10" t="n"/>
      <c r="AD8" s="10" t="n"/>
      <c r="AE8" s="14" t="n"/>
      <c r="AF8" s="12">
        <f>COUNTIF(B8:AE8,"+")</f>
        <v>1</v>
      </c>
    </row>
    <row r="9" ht="30" customHeight="1">
      <c r="A9" s="9" t="inlineStr">
        <is>
          <t>ЛЕОНАРД</t>
        </is>
      </c>
      <c r="B9" s="10" t="n"/>
      <c r="C9" s="11" t="n"/>
      <c r="D9" s="11" t="n"/>
      <c r="E9" s="10" t="n"/>
      <c r="F9" s="11" t="n"/>
      <c r="G9" s="11" t="inlineStr">
        <is>
          <t>+</t>
        </is>
      </c>
      <c r="H9" s="10" t="n"/>
      <c r="I9" s="10" t="n"/>
      <c r="J9" s="11" t="n"/>
      <c r="K9" s="11" t="n"/>
      <c r="L9" s="11" t="n"/>
      <c r="M9" s="11" t="n"/>
      <c r="N9" s="11" t="inlineStr">
        <is>
          <t>+</t>
        </is>
      </c>
      <c r="O9" s="10" t="n"/>
      <c r="P9" s="10" t="n"/>
      <c r="Q9" s="11" t="n"/>
      <c r="R9" s="11" t="n"/>
      <c r="S9" s="11" t="n"/>
      <c r="T9" s="11" t="n"/>
      <c r="U9" s="11" t="inlineStr">
        <is>
          <t>+</t>
        </is>
      </c>
      <c r="V9" s="10" t="n"/>
      <c r="W9" s="10" t="n"/>
      <c r="X9" s="11" t="n"/>
      <c r="Y9" s="11" t="n"/>
      <c r="Z9" s="11" t="n"/>
      <c r="AA9" s="11" t="n"/>
      <c r="AB9" s="11" t="inlineStr">
        <is>
          <t>+</t>
        </is>
      </c>
      <c r="AC9" s="10" t="n"/>
      <c r="AD9" s="10" t="n"/>
      <c r="AE9" s="11" t="n"/>
      <c r="AF9" s="12">
        <f>COUNTIF(B9:AE9,"+")</f>
        <v>4</v>
      </c>
    </row>
    <row r="10" ht="30" customHeight="1">
      <c r="A10" s="13" t="inlineStr">
        <is>
          <t>АЛЕКЕШОВА</t>
        </is>
      </c>
      <c r="B10" s="10" t="n"/>
      <c r="C10" s="14" t="n"/>
      <c r="D10" s="14" t="n"/>
      <c r="E10" s="10" t="inlineStr">
        <is>
          <t>+</t>
        </is>
      </c>
      <c r="F10" s="14" t="n"/>
      <c r="G10" s="14" t="n"/>
      <c r="H10" s="10" t="n"/>
      <c r="I10" s="10" t="n"/>
      <c r="J10" s="14" t="n"/>
      <c r="K10" s="14" t="n"/>
      <c r="L10" s="14" t="n"/>
      <c r="M10" s="14" t="n"/>
      <c r="N10" s="14" t="n"/>
      <c r="O10" s="10" t="n"/>
      <c r="P10" s="10" t="inlineStr">
        <is>
          <t>+</t>
        </is>
      </c>
      <c r="Q10" s="14" t="n"/>
      <c r="R10" s="14" t="n"/>
      <c r="S10" s="14" t="n"/>
      <c r="T10" s="14" t="n"/>
      <c r="U10" s="14" t="n"/>
      <c r="V10" s="10" t="n"/>
      <c r="W10" s="10" t="inlineStr">
        <is>
          <t>+</t>
        </is>
      </c>
      <c r="X10" s="14" t="n"/>
      <c r="Y10" s="14" t="n"/>
      <c r="Z10" s="14" t="n"/>
      <c r="AA10" s="14" t="n"/>
      <c r="AB10" s="14" t="n"/>
      <c r="AC10" s="10" t="n"/>
      <c r="AD10" s="10" t="inlineStr">
        <is>
          <t>+</t>
        </is>
      </c>
      <c r="AE10" s="14" t="n"/>
      <c r="AF10" s="12">
        <f>COUNTIF(B10:AE10,"+")</f>
        <v>4</v>
      </c>
    </row>
    <row r="11" ht="30" customHeight="1">
      <c r="A11" s="9" t="inlineStr">
        <is>
          <t>ДАВЫДОВА</t>
        </is>
      </c>
      <c r="B11" s="10" t="n"/>
      <c r="C11" s="11" t="n"/>
      <c r="D11" s="11" t="n"/>
      <c r="E11" s="10" t="n"/>
      <c r="F11" s="11" t="n"/>
      <c r="G11" s="11" t="n"/>
      <c r="H11" s="10" t="n"/>
      <c r="I11" s="10" t="n"/>
      <c r="J11" s="11" t="n"/>
      <c r="K11" s="11" t="n"/>
      <c r="L11" s="11" t="n"/>
      <c r="M11" s="11" t="n"/>
      <c r="N11" s="11" t="n"/>
      <c r="O11" s="10" t="n"/>
      <c r="P11" s="10" t="n"/>
      <c r="Q11" s="11" t="n"/>
      <c r="R11" s="11" t="n"/>
      <c r="S11" s="11" t="n"/>
      <c r="T11" s="11" t="n"/>
      <c r="U11" s="11" t="n"/>
      <c r="V11" s="10" t="n"/>
      <c r="W11" s="10" t="n"/>
      <c r="X11" s="11" t="n"/>
      <c r="Y11" s="11" t="n"/>
      <c r="Z11" s="11" t="n"/>
      <c r="AA11" s="11" t="n"/>
      <c r="AB11" s="11" t="n"/>
      <c r="AC11" s="10" t="n"/>
      <c r="AD11" s="10" t="n"/>
      <c r="AE11" s="11" t="n"/>
      <c r="AF11" s="12">
        <f>COUNTIF(B11:AE11,"+")</f>
        <v>0</v>
      </c>
    </row>
    <row r="12" ht="30" customHeight="1">
      <c r="A12" s="13" t="inlineStr">
        <is>
          <t>ОМУТОВ</t>
        </is>
      </c>
      <c r="B12" s="10" t="n"/>
      <c r="C12" s="14" t="n"/>
      <c r="D12" s="14" t="n"/>
      <c r="E12" s="10" t="n"/>
      <c r="F12" s="14" t="n"/>
      <c r="G12" s="14" t="n"/>
      <c r="H12" s="10" t="n"/>
      <c r="I12" s="10" t="inlineStr">
        <is>
          <t>+</t>
        </is>
      </c>
      <c r="J12" s="14" t="n"/>
      <c r="K12" s="14" t="inlineStr">
        <is>
          <t>+</t>
        </is>
      </c>
      <c r="L12" s="14" t="n"/>
      <c r="M12" s="14" t="n"/>
      <c r="N12" s="14" t="n"/>
      <c r="O12" s="10" t="n"/>
      <c r="P12" s="10" t="n"/>
      <c r="Q12" s="14" t="n"/>
      <c r="R12" s="14" t="n"/>
      <c r="S12" s="14" t="inlineStr">
        <is>
          <t>+</t>
        </is>
      </c>
      <c r="T12" s="14" t="n"/>
      <c r="U12" s="14" t="n"/>
      <c r="V12" s="10" t="n"/>
      <c r="W12" s="10" t="n"/>
      <c r="X12" s="14" t="inlineStr">
        <is>
          <t>+</t>
        </is>
      </c>
      <c r="Y12" s="14" t="n"/>
      <c r="Z12" s="14" t="n"/>
      <c r="AA12" s="14" t="n"/>
      <c r="AB12" s="14" t="n"/>
      <c r="AC12" s="10" t="inlineStr">
        <is>
          <t>+</t>
        </is>
      </c>
      <c r="AD12" s="10" t="n"/>
      <c r="AE12" s="14" t="n"/>
      <c r="AF12" s="12">
        <f>COUNTIF(B12:AE12,"+")</f>
        <v>5</v>
      </c>
    </row>
    <row r="13" ht="23" customHeight="1">
      <c r="A13" s="17" t="inlineStr">
        <is>
          <t>Дежурных за день</t>
        </is>
      </c>
      <c r="B13" s="18">
        <f>COUNTIF(B5:B12,"+")</f>
        <v>1</v>
      </c>
      <c r="C13" s="18">
        <f>COUNTIF(C5:C12,"+")</f>
        <v>1</v>
      </c>
      <c r="D13" s="18">
        <f>COUNTIF(D5:D12,"+")</f>
        <v>1</v>
      </c>
      <c r="E13" s="18">
        <f>COUNTIF(E5:E12,"+")</f>
        <v>1</v>
      </c>
      <c r="F13" s="18">
        <f>COUNTIF(F5:F12,"+")</f>
        <v>1</v>
      </c>
      <c r="G13" s="18">
        <f>COUNTIF(G5:G12,"+")</f>
        <v>1</v>
      </c>
      <c r="H13" s="18">
        <f>COUNTIF(H5:H12,"+")</f>
        <v>1</v>
      </c>
      <c r="I13" s="18">
        <f>COUNTIF(I5:I12,"+")</f>
        <v>1</v>
      </c>
      <c r="J13" s="18">
        <f>COUNTIF(J5:J12,"+")</f>
        <v>1</v>
      </c>
      <c r="K13" s="18">
        <f>COUNTIF(K5:K12,"+")</f>
        <v>1</v>
      </c>
      <c r="L13" s="18">
        <f>COUNTIF(L5:L12,"+")</f>
        <v>1</v>
      </c>
      <c r="M13" s="18">
        <f>COUNTIF(M5:M12,"+")</f>
        <v>1</v>
      </c>
      <c r="N13" s="18">
        <f>COUNTIF(N5:N12,"+")</f>
        <v>1</v>
      </c>
      <c r="O13" s="18">
        <f>COUNTIF(O5:O12,"+")</f>
        <v>1</v>
      </c>
      <c r="P13" s="18">
        <f>COUNTIF(P5:P12,"+")</f>
        <v>1</v>
      </c>
      <c r="Q13" s="18">
        <f>COUNTIF(Q5:Q12,"+")</f>
        <v>1</v>
      </c>
      <c r="R13" s="18">
        <f>COUNTIF(R5:R12,"+")</f>
        <v>1</v>
      </c>
      <c r="S13" s="18">
        <f>COUNTIF(S5:S12,"+")</f>
        <v>1</v>
      </c>
      <c r="T13" s="18">
        <f>COUNTIF(T5:T12,"+")</f>
        <v>1</v>
      </c>
      <c r="U13" s="18">
        <f>COUNTIF(U5:U12,"+")</f>
        <v>1</v>
      </c>
      <c r="V13" s="18">
        <f>COUNTIF(V5:V12,"+")</f>
        <v>1</v>
      </c>
      <c r="W13" s="18">
        <f>COUNTIF(W5:W12,"+")</f>
        <v>1</v>
      </c>
      <c r="X13" s="18">
        <f>COUNTIF(X5:X12,"+")</f>
        <v>1</v>
      </c>
      <c r="Y13" s="18">
        <f>COUNTIF(Y5:Y12,"+")</f>
        <v>1</v>
      </c>
      <c r="Z13" s="18">
        <f>COUNTIF(Z5:Z12,"+")</f>
        <v>1</v>
      </c>
      <c r="AA13" s="18">
        <f>COUNTIF(AA5:AA12,"+")</f>
        <v>1</v>
      </c>
      <c r="AB13" s="18">
        <f>COUNTIF(AB5:AB12,"+")</f>
        <v>1</v>
      </c>
      <c r="AC13" s="18">
        <f>COUNTIF(AC5:AC12,"+")</f>
        <v>1</v>
      </c>
      <c r="AD13" s="18">
        <f>COUNTIF(AD5:AD12,"+")</f>
        <v>1</v>
      </c>
      <c r="AE13" s="18">
        <f>COUNTIF(AE5:AE12,"+")</f>
        <v>1</v>
      </c>
      <c r="AF13" s="19">
        <f>SUM(B13:AE13)</f>
        <v>30</v>
      </c>
    </row>
    <row r="14" ht="7" customHeight="1"/>
  </sheetData>
  <mergeCells count="4">
    <mergeCell ref="A1:AF1"/>
    <mergeCell ref="E7:Q7"/>
    <mergeCell ref="A3:A4"/>
    <mergeCell ref="AF3:AF4"/>
  </mergeCells>
  <conditionalFormatting sqref="B13:AE13">
    <cfRule type="cellIs" priority="1" operator="notEqual" dxfId="0">
      <formula>1</formula>
    </cfRule>
  </conditionalFormatting>
  <pageMargins left="0.315" right="0.315" top="0.315" bottom="0.31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Дежурства ПСО</dc:creator>
  <dcterms:created xsi:type="dcterms:W3CDTF">2026-10-12T18:39:22Z</dcterms:created>
  <dcterms:modified xsi:type="dcterms:W3CDTF">2026-10-12T20:28:17Z</dcterms:modified>
</cp:coreProperties>
</file>